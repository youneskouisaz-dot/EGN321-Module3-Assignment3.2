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3cf24310144c38" /></Relationships>
</file>

<file path=xl/workbook.xml><?xml version="1.0" encoding="utf-8"?>
<x:workbook xmlns:x="http://schemas.openxmlformats.org/spreadsheetml/2006/main">
  <x:sheets>
    <x:sheet xmlns:r="http://schemas.openxmlformats.org/officeDocument/2006/relationships" name="Inventory list" sheetId="1" r:id="R25de62ae5af34f9a"/>
  </x:sheets>
  <x:definedNames>
    <x:definedName name="valHighlight">IFERROR(IF('Inventory list'!$E$3="Yes", TRUE, FALSE),FALSE)</x:definedName>
  </x:definedNames>
</x:workbook>
</file>

<file path=xl/sharedStrings.xml><?xml version="1.0" encoding="utf-8"?>
<x:sst xmlns:x="http://schemas.openxmlformats.org/spreadsheetml/2006/main">
  <x:si>
    <x:t xml:space="preserve">Inventory list</x:t>
  </x:si>
  <x:si>
    <x:t xml:space="preserve">Highlight items to reorder?</x:t>
  </x:si>
  <x:si>
    <x:t xml:space="preserve">Yes</x:t>
  </x:si>
  <x:si>
    <x:t xml:space="preserve"> </x:t>
  </x:si>
  <x:si>
    <x:t xml:space="preserve">Inventory ID</x:t>
  </x:si>
  <x:si>
    <x:t xml:space="preserve">Name</x:t>
  </x:si>
  <x:si>
    <x:t xml:space="preserve">Description</x:t>
  </x:si>
  <x:si>
    <x:t xml:space="preserve">Unit price</x:t>
  </x:si>
  <x:si>
    <x:t xml:space="preserve">Quantity in stock</x:t>
  </x:si>
  <x:si>
    <x:t xml:space="preserve">Inventory value</x:t>
  </x:si>
  <x:si>
    <x:t xml:space="preserve">Reorder level</x:t>
  </x:si>
  <x:si>
    <x:t xml:space="preserve">Reorder time in days</x:t>
  </x:si>
  <x:si>
    <x:t xml:space="preserve">Quantity in reorder</x:t>
  </x:si>
  <x:si>
    <x:t xml:space="preserve">Discontinued?</x:t>
  </x:si>
</x:sst>
</file>

<file path=xl/styles.xml><?xml version="1.0" encoding="utf-8"?>
<x:styleSheet xmlns:x="http://schemas.openxmlformats.org/spreadsheetml/2006/main">
  <x:numFmts count="2">
    <x:numFmt numFmtId="7" formatCode="&quot;$&quot;#,##0.00_);\(&quot;$&quot;#,##0.00\)"/>
    <x:numFmt numFmtId="164" formatCode="&quot;Reorder&quot;;&quot;&quot;;&quot;&quot;"/>
  </x:numFmts>
  <x:fonts count="11">
    <x:font>
      <x:sz val="11"/>
      <x:color theme="1"/>
      <x:name val="Century Gothic"/>
    </x:font>
    <x:font>
      <x:sz val="11"/>
      <x:color theme="1"/>
      <x:name val="Century Gothic"/>
    </x:font>
    <x:font>
      <x:b/>
      <x:sz val="12"/>
      <x:color theme="0"/>
      <x:name val="Century Gothic"/>
    </x:font>
    <x:font>
      <x:b/>
      <x:sz val="34"/>
      <x:color theme="6" tint="-0.24995"/>
      <x:name val="Century Gothic"/>
    </x:font>
    <x:font>
      <x:sz val="10"/>
      <x:color theme="1" tint="0.04999"/>
      <x:name val="Century Gothic"/>
    </x:font>
    <x:font>
      <x:sz val="11"/>
      <x:color theme="6" tint="-0.49998"/>
      <x:name val="Century Gothic"/>
    </x:font>
    <x:font>
      <x:sz val="11"/>
      <x:color theme="1"/>
      <x:name val="Century Gothic"/>
    </x:font>
    <x:font>
      <x:sz val="48"/>
      <x:color theme="5" tint="-0.24998"/>
      <x:name val="Century Gothic"/>
    </x:font>
    <x:font>
      <x:sz val="12"/>
      <x:color theme="1"/>
      <x:name val="Century Gothic"/>
    </x:font>
    <x:font>
      <x:sz val="48"/>
      <x:color theme="5" tint="-0.24998"/>
      <x:name val="Century Gothic"/>
    </x:font>
    <x:font>
      <x:sz val="12"/>
      <x:color theme="1"/>
      <x:name val="Century Gothic"/>
    </x:font>
  </x:fonts>
  <x:fills count="6">
    <x:fill>
      <x:patternFill patternType="none"/>
    </x:fill>
    <x:fill>
      <x:patternFill patternType="gray125"/>
    </x:fill>
    <x:fill>
      <x:patternFill patternType="solid">
        <x:fgColor theme="0"/>
      </x:patternFill>
    </x:fill>
    <x:fill>
      <x:patternFill patternType="solid">
        <x:fgColor theme="0" tint="-0.04999"/>
      </x:patternFill>
    </x:fill>
    <x:fill>
      <x:patternFill patternType="solid">
        <x:fgColor theme="6" tint="-0.24995"/>
      </x:patternFill>
    </x:fill>
    <x:fill>
      <x:patternFill patternType="solid">
        <x:fgColor theme="9"/>
      </x:patternFill>
    </x:fill>
  </x:fills>
  <x:borders count="1">
    <x:border/>
  </x:borders>
  <x:cellStyleXfs count="10">
    <x:xf numFmtId="0" fontId="0" fillId="0" borderId="0">
      <x:alignment vertical="center"/>
    </x:xf>
    <x:xf numFmtId="0" fontId="3" fillId="3" borderId="0" applyNumberFormat="0" applyProtection="0">
      <x:alignment horizontal="left" vertical="center"/>
    </x:xf>
    <x:xf numFmtId="0" fontId="2" fillId="4" borderId="0" applyProtection="0">
      <x:alignment horizontal="left" vertical="center" wrapText="1"/>
    </x:xf>
    <x:xf numFmtId="0" fontId="5" fillId="3" borderId="0" applyNumberFormat="0" applyProtection="0">
      <x:alignment horizontal="right" vertical="center"/>
    </x:xf>
    <x:xf numFmtId="7" fontId="6" fillId="0" borderId="0" applyProtection="0">
      <x:alignment horizontal="right" vertical="center"/>
    </x:xf>
    <x:xf numFmtId="0" fontId="6" fillId="0" borderId="0" applyProtection="0">
      <x:alignment horizontal="right" vertical="center"/>
    </x:xf>
    <x:xf numFmtId="0" fontId="1" fillId="0" borderId="0" applyProtection="0">
      <x:alignment horizontal="center" vertical="center"/>
    </x:xf>
    <x:xf numFmtId="0" fontId="1" fillId="0" borderId="0" applyProtection="0">
      <x:alignment horizontal="left" vertical="center" wrapText="1"/>
    </x:xf>
    <x:xf numFmtId="164" fontId="1" fillId="2" borderId="0">
      <x:alignment horizontal="left" vertical="center"/>
    </x:xf>
    <x:xf numFmtId="0" fontId="5" fillId="3" borderId="0" applyNumberFormat="0" applyProtection="0">
      <x:alignment horizontal="left" vertical="center"/>
    </x:xf>
  </x:cellStyleXfs>
  <x:cellXfs count="42">
    <x:xf numFmtId="0" fontId="0" fillId="0" borderId="0" xfId="0">
      <x:alignment vertical="center"/>
    </x:xf>
    <x:xf numFmtId="0" fontId="4" fillId="0" borderId="0" xfId="0" applyFont="1">
      <x:alignment vertical="center"/>
    </x:xf>
    <x:xf numFmtId="0" fontId="4" fillId="5" borderId="0" xfId="0" applyFont="1" applyFill="1" applyAlignment="1">
      <x:alignment horizontal="left"/>
    </x:xf>
    <x:xf numFmtId="0" fontId="0" fillId="0" borderId="0" xfId="0" applyAlignment="1">
      <x:alignment horizontal="right"/>
    </x:xf>
    <x:xf numFmtId="0" fontId="0" fillId="0" borderId="0" xfId="0" applyAlignment="1">
      <x:alignment horizontal="center"/>
    </x:xf>
    <x:xf numFmtId="0" fontId="7" fillId="5" borderId="0" xfId="1" applyFont="1" applyFill="1" applyAlignment="1"/>
    <x:xf numFmtId="0" fontId="0" fillId="5" borderId="0" xfId="0" applyFill="1" applyAlignment="1">
      <x:alignment horizontal="left"/>
    </x:xf>
    <x:xf numFmtId="0" fontId="0" fillId="0" borderId="0" xfId="0" applyAlignment="1">
      <x:alignment horizontal="left"/>
    </x:xf>
    <x:xf numFmtId="0" fontId="5" fillId="5" borderId="0" xfId="3" applyFill="1">
      <x:alignment horizontal="right" vertical="center"/>
    </x:xf>
    <x:xf numFmtId="0" fontId="8" fillId="5" borderId="0" xfId="3" applyFont="1" applyFill="1" applyAlignment="1">
      <x:alignment horizontal="left" vertical="center"/>
    </x:xf>
    <x:xf numFmtId="0" fontId="8" fillId="5" borderId="0" xfId="3" applyFont="1" applyFill="1" applyAlignment="1">
      <x:alignment vertical="center"/>
    </x:xf>
    <x:xf numFmtId="0" fontId="8" fillId="5" borderId="0" xfId="9" applyFont="1" applyFill="1">
      <x:alignment horizontal="left" vertical="center"/>
    </x:xf>
    <x:xf numFmtId="0" fontId="0" fillId="5" borderId="0" xfId="0" applyFill="1" applyAlignment="1">
      <x:alignment horizontal="right"/>
    </x:xf>
    <x:xf numFmtId="0" fontId="0" fillId="5" borderId="0" xfId="3" applyFont="1" applyFill="1" applyAlignment="1">
      <x:alignment horizontal="left" vertical="center"/>
    </x:xf>
    <x:xf numFmtId="0" fontId="0" fillId="5" borderId="0" xfId="9" applyFont="1" applyFill="1">
      <x:alignment horizontal="left" vertical="center"/>
    </x:xf>
    <x:xf numFmtId="0" fontId="9" fillId="5" borderId="0" xfId="1" applyFont="1" applyFill="1" applyAlignment="1"/>
    <x:xf numFmtId="164" fontId="0" fillId="0" borderId="0" xfId="8" applyFont="1" applyFill="1">
      <x:alignment horizontal="left" vertical="center"/>
    </x:xf>
    <x:xf numFmtId="0" fontId="0" fillId="0" borderId="0" xfId="7" applyFont="1">
      <x:alignment horizontal="left" vertical="center" wrapText="1"/>
    </x:xf>
    <x:xf numFmtId="7" fontId="0" fillId="0" borderId="0" xfId="4" applyFont="1" applyAlignment="1">
      <x:alignment horizontal="left" vertical="center"/>
    </x:xf>
    <x:xf numFmtId="0" fontId="0" fillId="0" borderId="0" xfId="5" applyFont="1" applyAlignment="1">
      <x:alignment horizontal="left" vertical="center"/>
    </x:xf>
    <x:xf numFmtId="0" fontId="0" fillId="0" borderId="0" xfId="6" applyFont="1" applyAlignment="1">
      <x:alignment horizontal="left" vertical="center"/>
    </x:xf>
    <x:xf numFmtId="0" fontId="8" fillId="0" borderId="0" xfId="0" applyFont="1">
      <x:alignment vertical="center"/>
    </x:xf>
    <x:xf numFmtId="0" fontId="10" fillId="0" borderId="0" xfId="0" applyFont="1" applyAlignment="1">
      <x:alignment horizontal="left" vertical="center"/>
    </x:xf>
    <x:xf numFmtId="0" fontId="0"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5" borderId="0" xfId="0" applyNumberFormat="1" applyFont="1" applyFill="1" applyBorder="1" applyAlignment="1">
      <x:alignment horizontal="left"/>
    </x:xf>
    <x:xf numFmtId="0" fontId="0" fillId="0" borderId="0" xfId="0" applyNumberFormat="1" applyFont="1" applyFill="1" applyBorder="1" applyAlignment="1">
      <x:alignment horizontal="right"/>
    </x:xf>
    <x:xf numFmtId="0" fontId="0" fillId="0" borderId="0" xfId="0" applyNumberFormat="1" applyFont="1" applyFill="1" applyBorder="1" applyAlignment="1">
      <x:alignment horizontal="center"/>
    </x:xf>
    <x:xf numFmtId="0" fontId="7" fillId="5" borderId="0" xfId="0" applyNumberFormat="1" applyFont="1" applyFill="1" applyBorder="1"/>
    <x:xf numFmtId="0" fontId="0" fillId="5" borderId="0" xfId="0" applyNumberFormat="1" applyFont="1" applyFill="1" applyBorder="1" applyAlignment="1">
      <x:alignment horizontal="left"/>
    </x:xf>
    <x:xf numFmtId="0" fontId="0" fillId="0" borderId="0" xfId="0" applyNumberFormat="1" applyFont="1" applyFill="1" applyBorder="1" applyAlignment="1">
      <x:alignment horizontal="left"/>
    </x:xf>
    <x:xf numFmtId="0" fontId="5" fillId="5" borderId="0" xfId="0" applyNumberFormat="1" applyFont="1" applyFill="1" applyBorder="1" applyAlignment="1">
      <x:alignment horizontal="right" vertical="center"/>
    </x:xf>
    <x:xf numFmtId="0" fontId="8" fillId="5" borderId="0" xfId="0" applyNumberFormat="1" applyFont="1" applyFill="1" applyBorder="1" applyAlignment="1">
      <x:alignment horizontal="left" vertical="center"/>
    </x:xf>
    <x:xf numFmtId="0" fontId="8" fillId="5" borderId="0" xfId="0" applyNumberFormat="1" applyFont="1" applyFill="1" applyBorder="1" applyAlignment="1">
      <x:alignment vertical="center"/>
    </x:xf>
    <x:xf numFmtId="0" fontId="0" fillId="5" borderId="0" xfId="0" applyNumberFormat="1" applyFont="1" applyFill="1" applyBorder="1" applyAlignment="1">
      <x:alignment horizontal="right"/>
    </x:xf>
    <x:xf numFmtId="0" fontId="0" fillId="5" borderId="0" xfId="0" applyNumberFormat="1" applyFont="1" applyFill="1" applyBorder="1" applyAlignment="1">
      <x:alignment horizontal="left" vertical="center"/>
    </x:xf>
    <x:xf numFmtId="164" fontId="0" fillId="0" borderId="0" xfId="0" applyNumberFormat="1" applyFont="1" applyFill="1" applyBorder="1" applyAlignment="1">
      <x:alignment horizontal="left" vertical="center"/>
    </x:xf>
    <x:xf numFmtId="0" fontId="0" fillId="0" borderId="0" xfId="0" applyNumberFormat="1" applyFont="1" applyFill="1" applyBorder="1" applyAlignment="1">
      <x:alignment horizontal="left" vertical="center" wrapText="1"/>
    </x:xf>
    <x:xf numFmtId="7" fontId="0" fillId="0" borderId="0" xfId="0" applyNumberFormat="1" applyFont="1" applyFill="1" applyBorder="1" applyAlignment="1">
      <x:alignment horizontal="left" vertical="center"/>
    </x:xf>
    <x:xf numFmtId="0" fontId="0" fillId="0" borderId="0" xfId="0" applyNumberFormat="1" applyFont="1" applyFill="1" applyBorder="1" applyAlignment="1">
      <x:alignment horizontal="left"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horizontal="left" vertical="center"/>
    </x:xf>
  </x:cellXfs>
  <x:cellStyles count="10">
    <x:cellStyle name="Discontinued" xfId="6"/>
    <x:cellStyle name="Flag Column" xfId="8"/>
    <x:cellStyle name="Heading 1" xfId="2"/>
    <x:cellStyle name="Heading 2" xfId="3"/>
    <x:cellStyle name="Heading 3" xfId="9"/>
    <x:cellStyle name="Normal" xfId="0"/>
    <x:cellStyle name="Table currency" xfId="4"/>
    <x:cellStyle name="Table details left" xfId="7"/>
    <x:cellStyle name="Table details right" xfId="5"/>
    <x:cellStyle name="Title" xfId="1"/>
  </x:cellStyles>
  <x:dxfs count="8">
    <x:dxf>
      <x:font>
        <x:u val="none"/>
        <x:sz val="12"/>
        <x:color theme="1"/>
        <x:name val="Century Gothic"/>
        <x:family val="2"/>
        <x:scheme val="major"/>
      </x:font>
    </x:dxf>
    <x:dxf>
      <x:font>
        <x:color theme="1"/>
      </x:font>
      <x:fill>
        <x:patternFill>
          <x:bgColor theme="8" tint="0.79995"/>
        </x:patternFill>
      </x:fill>
    </x:dxf>
    <x:dxf>
      <x:font>
        <x:color theme="1"/>
      </x:font>
      <x:fill>
        <x:patternFill>
          <x:bgColor theme="5" tint="0.79998"/>
        </x:patternFill>
      </x:fill>
    </x:dxf>
    <x:dxf>
      <x:font>
        <x:color theme="1" tint="0.49998"/>
      </x:font>
      <x:fill>
        <x:patternFill>
          <x:bgColor theme="8" tint="0.79995"/>
        </x:patternFill>
      </x:fill>
    </x:dxf>
    <x:dxf>
      <x:font>
        <x:color theme="1"/>
      </x:font>
      <x:fill>
        <x:patternFill>
          <x:bgColor theme="5" tint="0.79998"/>
        </x:patternFill>
      </x:fill>
    </x:dxf>
    <x:dxf>
      <x:font>
        <x:color auto="1"/>
      </x:font>
      <x:fill>
        <x:patternFill>
          <x:bgColor auto="1"/>
        </x:patternFill>
      </x:fill>
      <x:border>
        <x:left/>
        <x:right/>
        <x:top/>
        <x:bottom style="thin">
          <x:color theme="0"/>
        </x:bottom>
      </x:border>
    </x:dxf>
    <x:dxf>
      <x:font>
        <x:color theme="0"/>
      </x:font>
      <x:fill>
        <x:patternFill>
          <x:bgColor theme="5"/>
        </x:patternFill>
      </x:fill>
      <x:border>
        <x:top/>
        <x:bottom style="thick">
          <x:color theme="0"/>
        </x:bottom>
      </x:border>
    </x:dxf>
    <x:dxf>
      <x:font>
        <x:color theme="1"/>
      </x:font>
      <x:border/>
    </x:dxf>
  </x:dxfs>
</x:styleSheet>
</file>

<file path=xl/_rels/workbook.xml.rels>&#65279;<?xml version="1.0" encoding="utf-8"?><Relationships xmlns="http://schemas.openxmlformats.org/package/2006/relationships"><Relationship Type="http://schemas.openxmlformats.org/officeDocument/2006/relationships/styles" Target="/xl/styles.xml" Id="Rd51596b346044a23" /><Relationship Type="http://schemas.openxmlformats.org/officeDocument/2006/relationships/theme" Target="/xl/theme/theme1.xml" Id="Rf2082a57a0ff4cfc" /><Relationship Type="http://schemas.openxmlformats.org/officeDocument/2006/relationships/sharedStrings" Target="/xl/sharedStrings.xml" Id="R8068063e1167453d" /><Relationship Type="http://schemas.openxmlformats.org/officeDocument/2006/relationships/worksheet" Target="/xl/worksheets/sheet1.xml" Id="R25de62ae5af34f9a" /></Relationships>
</file>

<file path=xl/tables/table1.xml><?xml version="1.0" encoding="utf-8"?>
<x:table xmlns:x="http://schemas.openxmlformats.org/spreadsheetml/2006/main" id="1" name="InventoryList" displayName="InventoryList" ref="B5:L30" totalsRowShown="0">
  <x:autoFilter ref="B5:L30">
    <x:filterColumn colId="0" hiddenButton="1"/>
    <x:filterColumn colId="1" hiddenButton="1"/>
    <x:filterColumn colId="2" hiddenButton="1"/>
    <x:filterColumn colId="3" hiddenButton="1"/>
    <x:filterColumn colId="4" hiddenButton="1"/>
    <x:filterColumn colId="5" hiddenButton="1"/>
    <x:filterColumn colId="6" hiddenButton="1"/>
    <x:filterColumn colId="7" hiddenButton="1"/>
    <x:filterColumn colId="8" hiddenButton="1"/>
    <x:filterColumn colId="9" hiddenButton="1"/>
    <x:filterColumn colId="10" hiddenButton="1"/>
  </x:autoFilter>
  <x:tableColumns count="11">
    <x:tableColumn id="10" name=" ">
      <x:calculatedColumnFormula>IFERROR((InventoryList[[#This Row],[Quantity in stock]]&lt;=InventoryList[[#This Row],[Reorder level]])*(InventoryList[[#This Row],[Discontinued?]]="")*valHighlight,0)</x:calculatedColumnFormula>
    </x:tableColumn>
    <x:tableColumn id="1" name="Inventory ID"/>
    <x:tableColumn id="2" name="Name"/>
    <x:tableColumn id="3" name="Description"/>
    <x:tableColumn id="4" name="Unit price"/>
    <x:tableColumn id="5" name="Quantity in stock"/>
    <x:tableColumn id="11" name="Inventory value">
      <x:calculatedColumnFormula>InventoryList[[#This Row],[Unit price]]*InventoryList[[#This Row],[Quantity in stock]]</x:calculatedColumnFormula>
    </x:tableColumn>
    <x:tableColumn id="6" name="Reorder level"/>
    <x:tableColumn id="7" name="Reorder time in days"/>
    <x:tableColumn id="8" name="Quantity in reorder"/>
    <x:tableColumn id="9" name="Discontinued?"/>
  </x:tableColumns>
  <x:tableStyleInfo name="Inventory List" showFirstColumn="1" showLastColumn="0" showRowStripes="1" showColumnStripes="0"/>
</x:table>
</file>

<file path=xl/theme/theme1.xml><?xml version="1.0" encoding="utf-8"?>
<a:theme xmlns:a="http://schemas.openxmlformats.org/drawingml/2006/main" name="Office Theme">
  <a:themeElements>
    <a:clrScheme name="TM02802349">
      <a:dk1>
        <a:srgbClr val="000000"/>
      </a:dk1>
      <a:lt1>
        <a:srgbClr val="FFFFFF"/>
      </a:lt1>
      <a:dk2>
        <a:srgbClr val="0E2841"/>
      </a:dk2>
      <a:lt2>
        <a:srgbClr val="E8E8E8"/>
      </a:lt2>
      <a:accent1>
        <a:srgbClr val="C8CCF3"/>
      </a:accent1>
      <a:accent2>
        <a:srgbClr val="5436A7"/>
      </a:accent2>
      <a:accent3>
        <a:srgbClr val="55581D"/>
      </a:accent3>
      <a:accent4>
        <a:srgbClr val="F3B7CF"/>
      </a:accent4>
      <a:accent5>
        <a:srgbClr val="D22404"/>
      </a:accent5>
      <a:accent6>
        <a:srgbClr val="F3F0E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TM02802349">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de08c2b3e640c9" /></Relationships>
</file>

<file path=xl/worksheets/sheet1.xml><?xml version="1.0" encoding="utf-8"?>
<x:worksheet xmlns:x="http://schemas.openxmlformats.org/spreadsheetml/2006/main">
  <x:sheetPr>
    <x:tabColor theme="5" tint="0.59999"/>
  </x:sheetPr>
  <x:sheetViews>
    <x:sheetView showGridLines="0" workbookViewId="0"/>
  </x:sheetViews>
  <x:sheetFormatPr defaultColWidth="8.75" defaultRowHeight="30"/>
  <x:cols>
    <x:col min="1" max="1" width="2.625" customWidth="1"/>
    <x:col min="2" max="2" width="2.625" style="1" customWidth="1"/>
    <x:col min="3" max="4" width="15.625" customWidth="1"/>
    <x:col min="5" max="5" width="30" style="3" hidden="0" customWidth="1"/>
    <x:col min="6" max="6" width="12" style="3" hidden="0" customWidth="1"/>
    <x:col min="7" max="7" width="15" style="3" hidden="0" customWidth="1"/>
    <x:col min="8" max="8" width="15" style="3" hidden="0" customWidth="1"/>
    <x:col min="9" max="9" width="15" style="3" hidden="0" customWidth="1"/>
    <x:col min="10" max="10" width="18" style="4" hidden="0" customWidth="1"/>
    <x:col min="11" max="11" width="18" style="4" hidden="0" customWidth="1"/>
    <x:col min="12" max="12" width="14" hidden="0" customWidth="1"/>
    <x:col min="13" max="13" width="2.625" customWidth="1"/>
    <x:col min="3" max="3" width="13" hidden="0" customWidth="1"/>
    <x:col min="4" max="4" width="26" hidden="0" customWidth="1"/>
  </x:cols>
  <x:sheetData>
    <x:row r="1" ht="20.100000381469727" customHeight="1"/>
    <x:row r="2" s="7" customFormat="1" ht="90" customHeight="1">
      <x:c r="B2" s="2"/>
      <x:c r="C2" s="15" t="s">
        <x:v>0</x:v>
      </x:c>
      <x:c r="D2" s="5"/>
      <x:c r="E2" s="5"/>
      <x:c r="F2" s="6"/>
      <x:c r="G2" s="6"/>
      <x:c r="H2" s="6"/>
      <x:c r="I2" s="6"/>
      <x:c r="J2" s="6"/>
      <x:c r="K2" s="6"/>
      <x:c r="L2" s="6"/>
    </x:row>
    <x:row r="3" ht="30" customHeight="1">
      <x:c r="B3" s="8"/>
      <x:c r="C3" s="9" t="s">
        <x:v>1</x:v>
      </x:c>
      <x:c r="D3" s="10"/>
      <x:c r="E3" s="11" t="s">
        <x:v>2</x:v>
      </x:c>
      <x:c r="F3" s="12"/>
      <x:c r="G3" s="12"/>
      <x:c r="H3" s="12"/>
      <x:c r="I3" s="8"/>
      <x:c r="J3" s="8"/>
      <x:c r="K3" s="8"/>
      <x:c r="L3" s="8"/>
    </x:row>
    <x:row r="4" ht="30" customHeight="1">
      <x:c r="B4" s="8"/>
      <x:c r="C4" s="13"/>
      <x:c r="D4" s="13"/>
      <x:c r="E4" s="14"/>
      <x:c r="F4" s="12"/>
      <x:c r="G4" s="12"/>
      <x:c r="H4" s="12"/>
      <x:c r="I4" s="8"/>
      <x:c r="J4" s="8"/>
      <x:c r="K4" s="8"/>
      <x:c r="L4" s="8"/>
    </x:row>
    <x:row r="5" s="21" customFormat="1" ht="30" customHeight="1">
      <x:c r="B5" s="22" t="s">
        <x:v>3</x:v>
      </x:c>
      <x:c r="C5" s="22" t="s">
        <x:v>4</x:v>
      </x:c>
      <x:c r="D5" s="22" t="s">
        <x:v>5</x:v>
      </x:c>
      <x:c r="E5" s="22" t="s">
        <x:v>6</x:v>
      </x:c>
      <x:c r="F5" s="22" t="s">
        <x:v>7</x:v>
      </x:c>
      <x:c r="G5" s="22" t="s">
        <x:v>8</x:v>
      </x:c>
      <x:c r="H5" s="22" t="s">
        <x:v>9</x:v>
      </x:c>
      <x:c r="I5" s="22" t="s">
        <x:v>10</x:v>
      </x:c>
      <x:c r="J5" s="22" t="s">
        <x:v>11</x:v>
      </x:c>
      <x:c r="K5" s="22" t="s">
        <x:v>12</x:v>
      </x:c>
      <x:c r="L5" s="22" t="s">
        <x:v>13</x:v>
      </x:c>
    </x:row>
    <x:row r="6" ht="30" customHeight="1">
      <x:c r="B6" s="16" t="n">
        <x:f>IFERROR((InventoryList[[#This Row],[Quantity in stock]]&lt;=InventoryList[[#This Row],[Reorder level]])*(InventoryList[[#This Row],[Discontinued?]]="")*valHighlight,0)</x:f>
        <x:v>0</x:v>
      </x:c>
      <x:c r="C6" s="17" t="str">
        <x:v>IN0001</x:v>
      </x:c>
      <x:c r="D6" s="37" t="str">
        <x:v>Printer Paper - Case</x:v>
      </x:c>
      <x:c r="E6" s="37" t="str">
        <x:v>10 reams, letter size</x:v>
      </x:c>
      <x:c r="F6" s="18" t="n">
        <x:v>39.95</x:v>
      </x:c>
      <x:c r="G6" s="19" t="n">
        <x:v>18</x:v>
      </x:c>
      <x:c r="H6" s="18" t="n">
        <x:f>InventoryList[[#This Row],[Unit price]]*InventoryList[[#This Row],[Quantity in stock]]</x:f>
        <x:v>719.1</x:v>
      </x:c>
      <x:c r="I6" s="19" t="n">
        <x:v>12</x:v>
      </x:c>
      <x:c r="J6" s="19" t="n">
        <x:v>3</x:v>
      </x:c>
      <x:c r="K6" s="19" t="n">
        <x:v>0</x:v>
      </x:c>
      <x:c r="L6" s="20" t="str"/>
    </x:row>
    <x:row r="7" ht="30" customHeight="1">
      <x:c r="B7" s="16" t="n">
        <x:f>IFERROR((InventoryList[[#This Row],[Quantity in stock]]&lt;=InventoryList[[#This Row],[Reorder level]])*(InventoryList[[#This Row],[Discontinued?]]="")*valHighlight,0)</x:f>
        <x:v>1</x:v>
      </x:c>
      <x:c r="C7" s="17" t="str">
        <x:v>IN0002</x:v>
      </x:c>
      <x:c r="D7" s="37" t="str">
        <x:v>Black Toner Cartridge</x:v>
      </x:c>
      <x:c r="E7" s="37" t="str">
        <x:v>Laser printer toner</x:v>
      </x:c>
      <x:c r="F7" s="18" t="n">
        <x:v>74.5</x:v>
      </x:c>
      <x:c r="G7" s="19" t="n">
        <x:v>6</x:v>
      </x:c>
      <x:c r="H7" s="18" t="n">
        <x:f>InventoryList[[#This Row],[Unit price]]*InventoryList[[#This Row],[Quantity in stock]]</x:f>
        <x:v>447</x:v>
      </x:c>
      <x:c r="I7" s="19" t="n">
        <x:v>10</x:v>
      </x:c>
      <x:c r="J7" s="19" t="n">
        <x:v>5</x:v>
      </x:c>
      <x:c r="K7" s="19" t="n">
        <x:v>12</x:v>
      </x:c>
      <x:c r="L7" s="20" t="str"/>
    </x:row>
    <x:row r="8" ht="30" customHeight="1">
      <x:c r="B8" s="16" t="n">
        <x:f>IFERROR((InventoryList[[#This Row],[Quantity in stock]]&lt;=InventoryList[[#This Row],[Reorder level]])*(InventoryList[[#This Row],[Discontinued?]]="")*valHighlight,0)</x:f>
        <x:v>0</x:v>
      </x:c>
      <x:c r="C8" s="17" t="str">
        <x:v>IN0003</x:v>
      </x:c>
      <x:c r="D8" s="37" t="str">
        <x:v>USB Keyboard</x:v>
      </x:c>
      <x:c r="E8" s="37" t="str">
        <x:v>Wired full-size keyboard</x:v>
      </x:c>
      <x:c r="F8" s="18" t="n">
        <x:v>21.99</x:v>
      </x:c>
      <x:c r="G8" s="19" t="n">
        <x:v>14</x:v>
      </x:c>
      <x:c r="H8" s="18" t="n">
        <x:f>InventoryList[[#This Row],[Unit price]]*InventoryList[[#This Row],[Quantity in stock]]</x:f>
        <x:v>307.85999999999996</x:v>
      </x:c>
      <x:c r="I8" s="19" t="n">
        <x:v>8</x:v>
      </x:c>
      <x:c r="J8" s="19" t="n">
        <x:v>4</x:v>
      </x:c>
      <x:c r="K8" s="19" t="n">
        <x:v>0</x:v>
      </x:c>
      <x:c r="L8" s="20" t="str"/>
    </x:row>
    <x:row r="9" ht="30" customHeight="1">
      <x:c r="B9" s="16" t="n">
        <x:f>IFERROR((InventoryList[[#This Row],[Quantity in stock]]&lt;=InventoryList[[#This Row],[Reorder level]])*(InventoryList[[#This Row],[Discontinued?]]="")*valHighlight,0)</x:f>
        <x:v>1</x:v>
      </x:c>
      <x:c r="C9" s="17" t="str">
        <x:v>IN0004</x:v>
      </x:c>
      <x:c r="D9" s="37" t="str">
        <x:v>Wireless Mouse</x:v>
      </x:c>
      <x:c r="E9" s="37" t="str">
        <x:v>2.4 GHz wireless mouse</x:v>
      </x:c>
      <x:c r="F9" s="18" t="n">
        <x:v>24.99</x:v>
      </x:c>
      <x:c r="G9" s="19" t="n">
        <x:v>7</x:v>
      </x:c>
      <x:c r="H9" s="18" t="n">
        <x:f>InventoryList[[#This Row],[Unit price]]*InventoryList[[#This Row],[Quantity in stock]]</x:f>
        <x:v>174.92999999999998</x:v>
      </x:c>
      <x:c r="I9" s="19" t="n">
        <x:v>10</x:v>
      </x:c>
      <x:c r="J9" s="19" t="n">
        <x:v>4</x:v>
      </x:c>
      <x:c r="K9" s="19" t="n">
        <x:v>10</x:v>
      </x:c>
      <x:c r="L9" s="20" t="str"/>
    </x:row>
    <x:row r="10" ht="30" customHeight="1">
      <x:c r="B10" s="16" t="n">
        <x:f>IFERROR((InventoryList[[#This Row],[Quantity in stock]]&lt;=InventoryList[[#This Row],[Reorder level]])*(InventoryList[[#This Row],[Discontinued?]]="")*valHighlight,0)</x:f>
        <x:v>0</x:v>
      </x:c>
      <x:c r="C10" s="17" t="str">
        <x:v>IN0005</x:v>
      </x:c>
      <x:c r="D10" s="37" t="str">
        <x:v>HDMI Cable 6 ft</x:v>
      </x:c>
      <x:c r="E10" s="37" t="str">
        <x:v>High-speed HDMI cable</x:v>
      </x:c>
      <x:c r="F10" s="18" t="n">
        <x:v>9.49</x:v>
      </x:c>
      <x:c r="G10" s="19" t="n">
        <x:v>22</x:v>
      </x:c>
      <x:c r="H10" s="18" t="n">
        <x:f>InventoryList[[#This Row],[Unit price]]*InventoryList[[#This Row],[Quantity in stock]]</x:f>
        <x:v>208.78</x:v>
      </x:c>
      <x:c r="I10" s="19" t="n">
        <x:v>10</x:v>
      </x:c>
      <x:c r="J10" s="19" t="n">
        <x:v>3</x:v>
      </x:c>
      <x:c r="K10" s="19" t="n">
        <x:v>0</x:v>
      </x:c>
      <x:c r="L10" s="20" t="str"/>
    </x:row>
    <x:row r="11" ht="30" customHeight="1">
      <x:c r="B11" s="16" t="n">
        <x:f>IFERROR((InventoryList[[#This Row],[Quantity in stock]]&lt;=InventoryList[[#This Row],[Reorder level]])*(InventoryList[[#This Row],[Discontinued?]]="")*valHighlight,0)</x:f>
        <x:v>1</x:v>
      </x:c>
      <x:c r="C11" s="17" t="str">
        <x:v>IN0006</x:v>
      </x:c>
      <x:c r="D11" s="37" t="str">
        <x:v>Ethernet Cable 10 ft</x:v>
      </x:c>
      <x:c r="E11" s="37" t="str">
        <x:v>Cat6 patch cable</x:v>
      </x:c>
      <x:c r="F11" s="18" t="n">
        <x:v>7.95</x:v>
      </x:c>
      <x:c r="G11" s="19" t="n">
        <x:v>9</x:v>
      </x:c>
      <x:c r="H11" s="18" t="n">
        <x:f>InventoryList[[#This Row],[Unit price]]*InventoryList[[#This Row],[Quantity in stock]]</x:f>
        <x:v>71.55</x:v>
      </x:c>
      <x:c r="I11" s="19" t="n">
        <x:v>12</x:v>
      </x:c>
      <x:c r="J11" s="19" t="n">
        <x:v>3</x:v>
      </x:c>
      <x:c r="K11" s="19" t="n">
        <x:v>15</x:v>
      </x:c>
      <x:c r="L11" s="20" t="str"/>
    </x:row>
    <x:row r="12" ht="30" customHeight="1">
      <x:c r="B12" s="16" t="n">
        <x:f>IFERROR((InventoryList[[#This Row],[Quantity in stock]]&lt;=InventoryList[[#This Row],[Reorder level]])*(InventoryList[[#This Row],[Discontinued?]]="")*valHighlight,0)</x:f>
        <x:v>1</x:v>
      </x:c>
      <x:c r="C12" s="17" t="str">
        <x:v>IN0007</x:v>
      </x:c>
      <x:c r="D12" s="37" t="str">
        <x:v>USB-C Charger 65W</x:v>
      </x:c>
      <x:c r="E12" s="37" t="str">
        <x:v>Laptop USB-C power adapter</x:v>
      </x:c>
      <x:c r="F12" s="18" t="n">
        <x:v>34.99</x:v>
      </x:c>
      <x:c r="G12" s="19" t="n">
        <x:v>5</x:v>
      </x:c>
      <x:c r="H12" s="18" t="n">
        <x:f>InventoryList[[#This Row],[Unit price]]*InventoryList[[#This Row],[Quantity in stock]]</x:f>
        <x:v>174.95000000000002</x:v>
      </x:c>
      <x:c r="I12" s="19" t="n">
        <x:v>8</x:v>
      </x:c>
      <x:c r="J12" s="19" t="n">
        <x:v>6</x:v>
      </x:c>
      <x:c r="K12" s="19" t="n">
        <x:v>10</x:v>
      </x:c>
      <x:c r="L12" s="20" t="str"/>
    </x:row>
    <x:row r="13" ht="30" customHeight="1">
      <x:c r="B13" s="16" t="n">
        <x:f>IFERROR((InventoryList[[#This Row],[Quantity in stock]]&lt;=InventoryList[[#This Row],[Reorder level]])*(InventoryList[[#This Row],[Discontinued?]]="")*valHighlight,0)</x:f>
        <x:v>0</x:v>
      </x:c>
      <x:c r="C13" s="17" t="str">
        <x:v>IN0008</x:v>
      </x:c>
      <x:c r="D13" s="37" t="str">
        <x:v>Laptop Stand</x:v>
      </x:c>
      <x:c r="E13" s="37" t="str">
        <x:v>Adjustable aluminum stand</x:v>
      </x:c>
      <x:c r="F13" s="18" t="n">
        <x:v>29.95</x:v>
      </x:c>
      <x:c r="G13" s="19" t="n">
        <x:v>11</x:v>
      </x:c>
      <x:c r="H13" s="18" t="n">
        <x:f>InventoryList[[#This Row],[Unit price]]*InventoryList[[#This Row],[Quantity in stock]]</x:f>
        <x:v>329.45</x:v>
      </x:c>
      <x:c r="I13" s="19" t="n">
        <x:v>6</x:v>
      </x:c>
      <x:c r="J13" s="19" t="n">
        <x:v>5</x:v>
      </x:c>
      <x:c r="K13" s="19" t="n">
        <x:v>0</x:v>
      </x:c>
      <x:c r="L13" s="20" t="str"/>
    </x:row>
    <x:row r="14" ht="30" customHeight="1">
      <x:c r="B14" s="16" t="n">
        <x:f>IFERROR((InventoryList[[#This Row],[Quantity in stock]]&lt;=InventoryList[[#This Row],[Reorder level]])*(InventoryList[[#This Row],[Discontinued?]]="")*valHighlight,0)</x:f>
        <x:v>1</x:v>
      </x:c>
      <x:c r="C14" s="17" t="str">
        <x:v>IN0009</x:v>
      </x:c>
      <x:c r="D14" s="37" t="str">
        <x:v>Webcam 1080p</x:v>
      </x:c>
      <x:c r="E14" s="37" t="str">
        <x:v>USB full-HD webcam</x:v>
      </x:c>
      <x:c r="F14" s="18" t="n">
        <x:v>42.5</x:v>
      </x:c>
      <x:c r="G14" s="19" t="n">
        <x:v>4</x:v>
      </x:c>
      <x:c r="H14" s="18" t="n">
        <x:f>InventoryList[[#This Row],[Unit price]]*InventoryList[[#This Row],[Quantity in stock]]</x:f>
        <x:v>170</x:v>
      </x:c>
      <x:c r="I14" s="19" t="n">
        <x:v>6</x:v>
      </x:c>
      <x:c r="J14" s="19" t="n">
        <x:v>7</x:v>
      </x:c>
      <x:c r="K14" s="19" t="n">
        <x:v>8</x:v>
      </x:c>
      <x:c r="L14" s="20" t="str"/>
    </x:row>
    <x:row r="15" ht="30" customHeight="1">
      <x:c r="B15" s="16" t="n">
        <x:f>IFERROR((InventoryList[[#This Row],[Quantity in stock]]&lt;=InventoryList[[#This Row],[Reorder level]])*(InventoryList[[#This Row],[Discontinued?]]="")*valHighlight,0)</x:f>
        <x:v>0</x:v>
      </x:c>
      <x:c r="C15" s="17" t="str">
        <x:v>IN0010</x:v>
      </x:c>
      <x:c r="D15" s="37" t="str">
        <x:v>Headset with Microphone</x:v>
      </x:c>
      <x:c r="E15" s="37" t="str">
        <x:v>USB stereo headset</x:v>
      </x:c>
      <x:c r="F15" s="18" t="n">
        <x:v>31.75</x:v>
      </x:c>
      <x:c r="G15" s="19" t="n">
        <x:v>13</x:v>
      </x:c>
      <x:c r="H15" s="18" t="n">
        <x:f>InventoryList[[#This Row],[Unit price]]*InventoryList[[#This Row],[Quantity in stock]]</x:f>
        <x:v>412.75</x:v>
      </x:c>
      <x:c r="I15" s="19" t="n">
        <x:v>8</x:v>
      </x:c>
      <x:c r="J15" s="19" t="n">
        <x:v>5</x:v>
      </x:c>
      <x:c r="K15" s="19" t="n">
        <x:v>0</x:v>
      </x:c>
      <x:c r="L15" s="20" t="str"/>
    </x:row>
    <x:row r="16" ht="30" customHeight="1">
      <x:c r="B16" s="16" t="n">
        <x:f>IFERROR((InventoryList[[#This Row],[Quantity in stock]]&lt;=InventoryList[[#This Row],[Reorder level]])*(InventoryList[[#This Row],[Discontinued?]]="")*valHighlight,0)</x:f>
        <x:v>1</x:v>
      </x:c>
      <x:c r="C16" s="17" t="str">
        <x:v>IN0011</x:v>
      </x:c>
      <x:c r="D16" s="37" t="str">
        <x:v>AA Batteries - 24 Pack</x:v>
      </x:c>
      <x:c r="E16" s="37" t="str">
        <x:v>Alkaline battery pack</x:v>
      </x:c>
      <x:c r="F16" s="18" t="n">
        <x:v>18.25</x:v>
      </x:c>
      <x:c r="G16" s="19" t="n">
        <x:v>8</x:v>
      </x:c>
      <x:c r="H16" s="18" t="n">
        <x:f>InventoryList[[#This Row],[Unit price]]*InventoryList[[#This Row],[Quantity in stock]]</x:f>
        <x:v>146</x:v>
      </x:c>
      <x:c r="I16" s="19" t="n">
        <x:v>10</x:v>
      </x:c>
      <x:c r="J16" s="19" t="n">
        <x:v>4</x:v>
      </x:c>
      <x:c r="K16" s="19" t="n">
        <x:v>12</x:v>
      </x:c>
      <x:c r="L16" s="20" t="str"/>
    </x:row>
    <x:row r="17" ht="30" customHeight="1">
      <x:c r="B17" s="16" t="n">
        <x:f>IFERROR((InventoryList[[#This Row],[Quantity in stock]]&lt;=InventoryList[[#This Row],[Reorder level]])*(InventoryList[[#This Row],[Discontinued?]]="")*valHighlight,0)</x:f>
        <x:v>1</x:v>
      </x:c>
      <x:c r="C17" s="17" t="str">
        <x:v>IN0012</x:v>
      </x:c>
      <x:c r="D17" s="37" t="str">
        <x:v>Cleaning Wipes</x:v>
      </x:c>
      <x:c r="E17" s="37" t="str">
        <x:v>Electronics-safe wipes</x:v>
      </x:c>
      <x:c r="F17" s="18" t="n">
        <x:v>13.8</x:v>
      </x:c>
      <x:c r="G17" s="19" t="n">
        <x:v>5</x:v>
      </x:c>
      <x:c r="H17" s="18" t="n">
        <x:f>InventoryList[[#This Row],[Unit price]]*InventoryList[[#This Row],[Quantity in stock]]</x:f>
        <x:v>69</x:v>
      </x:c>
      <x:c r="I17" s="19" t="n">
        <x:v>10</x:v>
      </x:c>
      <x:c r="J17" s="19" t="n">
        <x:v>3</x:v>
      </x:c>
      <x:c r="K17" s="19" t="n">
        <x:v>15</x:v>
      </x:c>
      <x:c r="L17" s="20" t="str"/>
    </x:row>
    <x:row r="18" ht="30" customHeight="1">
      <x:c r="B18" s="16" t="n">
        <x:f>IFERROR((InventoryList[[#This Row],[Quantity in stock]]&lt;=InventoryList[[#This Row],[Reorder level]])*(InventoryList[[#This Row],[Discontinued?]]="")*valHighlight,0)</x:f>
        <x:v>0</x:v>
      </x:c>
      <x:c r="C18" s="17" t="str">
        <x:v>IN0013</x:v>
      </x:c>
      <x:c r="D18" s="37" t="str">
        <x:v>Dry Erase Markers</x:v>
      </x:c>
      <x:c r="E18" s="37" t="str">
        <x:v>Assorted colors, 12 pack</x:v>
      </x:c>
      <x:c r="F18" s="18" t="n">
        <x:v>11.6</x:v>
      </x:c>
      <x:c r="G18" s="19" t="n">
        <x:v>19</x:v>
      </x:c>
      <x:c r="H18" s="18" t="n">
        <x:f>InventoryList[[#This Row],[Unit price]]*InventoryList[[#This Row],[Quantity in stock]]</x:f>
        <x:v>220.4</x:v>
      </x:c>
      <x:c r="I18" s="19" t="n">
        <x:v>10</x:v>
      </x:c>
      <x:c r="J18" s="19" t="n">
        <x:v>2</x:v>
      </x:c>
      <x:c r="K18" s="19" t="n">
        <x:v>0</x:v>
      </x:c>
      <x:c r="L18" s="20" t="str"/>
    </x:row>
    <x:row r="19" ht="30" customHeight="1">
      <x:c r="B19" s="16" t="n">
        <x:f>IFERROR((InventoryList[[#This Row],[Quantity in stock]]&lt;=InventoryList[[#This Row],[Reorder level]])*(InventoryList[[#This Row],[Discontinued?]]="")*valHighlight,0)</x:f>
        <x:v>0</x:v>
      </x:c>
      <x:c r="C19" s="17" t="str">
        <x:v>IN0014</x:v>
      </x:c>
      <x:c r="D19" s="37" t="str">
        <x:v>Sticky Notes - 12 Pack</x:v>
      </x:c>
      <x:c r="E19" s="37" t="str">
        <x:v>3 x 3 inch notes</x:v>
      </x:c>
      <x:c r="F19" s="18" t="n">
        <x:v>14.25</x:v>
      </x:c>
      <x:c r="G19" s="19" t="n">
        <x:v>16</x:v>
      </x:c>
      <x:c r="H19" s="18" t="n">
        <x:f>InventoryList[[#This Row],[Unit price]]*InventoryList[[#This Row],[Quantity in stock]]</x:f>
        <x:v>228</x:v>
      </x:c>
      <x:c r="I19" s="19" t="n">
        <x:v>8</x:v>
      </x:c>
      <x:c r="J19" s="19" t="n">
        <x:v>2</x:v>
      </x:c>
      <x:c r="K19" s="19" t="n">
        <x:v>0</x:v>
      </x:c>
      <x:c r="L19" s="20" t="str"/>
    </x:row>
    <x:row r="20" ht="30" customHeight="1">
      <x:c r="B20" s="16" t="n">
        <x:f>IFERROR((InventoryList[[#This Row],[Quantity in stock]]&lt;=InventoryList[[#This Row],[Reorder level]])*(InventoryList[[#This Row],[Discontinued?]]="")*valHighlight,0)</x:f>
        <x:v>1</x:v>
      </x:c>
      <x:c r="C20" s="17" t="str">
        <x:v>IN0015</x:v>
      </x:c>
      <x:c r="D20" s="37" t="str">
        <x:v>Shipping Labels - Roll</x:v>
      </x:c>
      <x:c r="E20" s="37" t="str">
        <x:v>Thermal shipping labels</x:v>
      </x:c>
      <x:c r="F20" s="18" t="n">
        <x:v>17.4</x:v>
      </x:c>
      <x:c r="G20" s="19" t="n">
        <x:v>7</x:v>
      </x:c>
      <x:c r="H20" s="18" t="n">
        <x:f>InventoryList[[#This Row],[Unit price]]*InventoryList[[#This Row],[Quantity in stock]]</x:f>
        <x:v>121.79999999999998</x:v>
      </x:c>
      <x:c r="I20" s="19" t="n">
        <x:v>10</x:v>
      </x:c>
      <x:c r="J20" s="19" t="n">
        <x:v>3</x:v>
      </x:c>
      <x:c r="K20" s="19" t="n">
        <x:v>12</x:v>
      </x:c>
      <x:c r="L20" s="20" t="str"/>
    </x:row>
    <x:row r="21" ht="30" customHeight="1">
      <x:c r="B21" s="16" t="n">
        <x:f>IFERROR((InventoryList[[#This Row],[Quantity in stock]]&lt;=InventoryList[[#This Row],[Reorder level]])*(InventoryList[[#This Row],[Discontinued?]]="")*valHighlight,0)</x:f>
        <x:v>0</x:v>
      </x:c>
      <x:c r="C21" s="17" t="str">
        <x:v>IN0016</x:v>
      </x:c>
      <x:c r="D21" s="37" t="str">
        <x:v>Packing Tape - 6 Pack</x:v>
      </x:c>
      <x:c r="E21" s="37" t="str">
        <x:v>Clear heavy-duty tape</x:v>
      </x:c>
      <x:c r="F21" s="18" t="n">
        <x:v>22.1</x:v>
      </x:c>
      <x:c r="G21" s="19" t="n">
        <x:v>12</x:v>
      </x:c>
      <x:c r="H21" s="18" t="n">
        <x:f>InventoryList[[#This Row],[Unit price]]*InventoryList[[#This Row],[Quantity in stock]]</x:f>
        <x:v>265.20000000000005</x:v>
      </x:c>
      <x:c r="I21" s="19" t="n">
        <x:v>8</x:v>
      </x:c>
      <x:c r="J21" s="19" t="n">
        <x:v>3</x:v>
      </x:c>
      <x:c r="K21" s="19" t="n">
        <x:v>0</x:v>
      </x:c>
      <x:c r="L21" s="20" t="str"/>
    </x:row>
    <x:row r="22" ht="30" customHeight="1">
      <x:c r="B22" s="16" t="n">
        <x:f>IFERROR((InventoryList[[#This Row],[Quantity in stock]]&lt;=InventoryList[[#This Row],[Reorder level]])*(InventoryList[[#This Row],[Discontinued?]]="")*valHighlight,0)</x:f>
        <x:v>1</x:v>
      </x:c>
      <x:c r="C22" s="17" t="str">
        <x:v>IN0017</x:v>
      </x:c>
      <x:c r="D22" s="37" t="str">
        <x:v>Extension Cord 15 ft</x:v>
      </x:c>
      <x:c r="E22" s="37" t="str">
        <x:v>Indoor grounded cord</x:v>
      </x:c>
      <x:c r="F22" s="18" t="n">
        <x:v>16.95</x:v>
      </x:c>
      <x:c r="G22" s="19" t="n">
        <x:v>6</x:v>
      </x:c>
      <x:c r="H22" s="18" t="n">
        <x:f>InventoryList[[#This Row],[Unit price]]*InventoryList[[#This Row],[Quantity in stock]]</x:f>
        <x:v>101.69999999999999</x:v>
      </x:c>
      <x:c r="I22" s="19" t="n">
        <x:v>6</x:v>
      </x:c>
      <x:c r="J22" s="19" t="n">
        <x:v>5</x:v>
      </x:c>
      <x:c r="K22" s="19" t="n">
        <x:v>6</x:v>
      </x:c>
      <x:c r="L22" s="20" t="str"/>
    </x:row>
    <x:row r="23" ht="30" customHeight="1">
      <x:c r="B23" s="16" t="n">
        <x:f>IFERROR((InventoryList[[#This Row],[Quantity in stock]]&lt;=InventoryList[[#This Row],[Reorder level]])*(InventoryList[[#This Row],[Discontinued?]]="")*valHighlight,0)</x:f>
        <x:v>1</x:v>
      </x:c>
      <x:c r="C23" s="17" t="str">
        <x:v>IN0018</x:v>
      </x:c>
      <x:c r="D23" s="37" t="str">
        <x:v>Surge Protector</x:v>
      </x:c>
      <x:c r="E23" s="37" t="str">
        <x:v>6-outlet surge protector</x:v>
      </x:c>
      <x:c r="F23" s="18" t="n">
        <x:v>19.99</x:v>
      </x:c>
      <x:c r="G23" s="19" t="n">
        <x:v>3</x:v>
      </x:c>
      <x:c r="H23" s="18" t="n">
        <x:f>InventoryList[[#This Row],[Unit price]]*InventoryList[[#This Row],[Quantity in stock]]</x:f>
        <x:v>59.97</x:v>
      </x:c>
      <x:c r="I23" s="19" t="n">
        <x:v>6</x:v>
      </x:c>
      <x:c r="J23" s="19" t="n">
        <x:v>5</x:v>
      </x:c>
      <x:c r="K23" s="19" t="n">
        <x:v>8</x:v>
      </x:c>
      <x:c r="L23" s="20" t="str"/>
    </x:row>
    <x:row r="24" ht="30" customHeight="1">
      <x:c r="B24" s="16" t="n">
        <x:f>IFERROR((InventoryList[[#This Row],[Quantity in stock]]&lt;=InventoryList[[#This Row],[Reorder level]])*(InventoryList[[#This Row],[Discontinued?]]="")*valHighlight,0)</x:f>
        <x:v>0</x:v>
      </x:c>
      <x:c r="C24" s="17" t="str">
        <x:v>IN0019</x:v>
      </x:c>
      <x:c r="D24" s="37" t="str">
        <x:v>Portable SSD 1TB</x:v>
      </x:c>
      <x:c r="E24" s="37" t="str">
        <x:v>USB-C external solid-state drive</x:v>
      </x:c>
      <x:c r="F24" s="18" t="n">
        <x:v>89</x:v>
      </x:c>
      <x:c r="G24" s="19" t="n">
        <x:v>9</x:v>
      </x:c>
      <x:c r="H24" s="18" t="n">
        <x:f>InventoryList[[#This Row],[Unit price]]*InventoryList[[#This Row],[Quantity in stock]]</x:f>
        <x:v>801</x:v>
      </x:c>
      <x:c r="I24" s="19" t="n">
        <x:v>5</x:v>
      </x:c>
      <x:c r="J24" s="19" t="n">
        <x:v>7</x:v>
      </x:c>
      <x:c r="K24" s="19" t="n">
        <x:v>0</x:v>
      </x:c>
      <x:c r="L24" s="20" t="str"/>
    </x:row>
    <x:row r="25" ht="30" customHeight="1">
      <x:c r="B25" s="16" t="n">
        <x:f>IFERROR((InventoryList[[#This Row],[Quantity in stock]]&lt;=InventoryList[[#This Row],[Reorder level]])*(InventoryList[[#This Row],[Discontinued?]]="")*valHighlight,0)</x:f>
        <x:v>0</x:v>
      </x:c>
      <x:c r="C25" s="17" t="str">
        <x:v>IN0020</x:v>
      </x:c>
      <x:c r="D25" s="37" t="str">
        <x:v>Flash Drive 64GB</x:v>
      </x:c>
      <x:c r="E25" s="37" t="str">
        <x:v>USB 3.0 storage drive</x:v>
      </x:c>
      <x:c r="F25" s="18" t="n">
        <x:v>8.75</x:v>
      </x:c>
      <x:c r="G25" s="19" t="n">
        <x:v>21</x:v>
      </x:c>
      <x:c r="H25" s="18" t="n">
        <x:f>InventoryList[[#This Row],[Unit price]]*InventoryList[[#This Row],[Quantity in stock]]</x:f>
        <x:v>183.75</x:v>
      </x:c>
      <x:c r="I25" s="19" t="n">
        <x:v>10</x:v>
      </x:c>
      <x:c r="J25" s="19" t="n">
        <x:v>3</x:v>
      </x:c>
      <x:c r="K25" s="19" t="n">
        <x:v>0</x:v>
      </x:c>
      <x:c r="L25" s="20" t="str"/>
    </x:row>
    <x:row r="26" ht="30" customHeight="1">
      <x:c r="B26" s="16" t="n">
        <x:f>IFERROR((InventoryList[[#This Row],[Quantity in stock]]&lt;=InventoryList[[#This Row],[Reorder level]])*(InventoryList[[#This Row],[Discontinued?]]="")*valHighlight,0)</x:f>
        <x:v>0</x:v>
      </x:c>
      <x:c r="C26" s="17" t="str">
        <x:v>IN0021</x:v>
      </x:c>
      <x:c r="D26" s="37" t="str">
        <x:v>Notebook - 12 Pack</x:v>
      </x:c>
      <x:c r="E26" s="37" t="str">
        <x:v>College-ruled notebooks</x:v>
      </x:c>
      <x:c r="F26" s="18" t="n">
        <x:v>26.5</x:v>
      </x:c>
      <x:c r="G26" s="19" t="n">
        <x:v>10</x:v>
      </x:c>
      <x:c r="H26" s="18" t="n">
        <x:f>InventoryList[[#This Row],[Unit price]]*InventoryList[[#This Row],[Quantity in stock]]</x:f>
        <x:v>265</x:v>
      </x:c>
      <x:c r="I26" s="19" t="n">
        <x:v>8</x:v>
      </x:c>
      <x:c r="J26" s="19" t="n">
        <x:v>4</x:v>
      </x:c>
      <x:c r="K26" s="19" t="n">
        <x:v>0</x:v>
      </x:c>
      <x:c r="L26" s="20" t="str"/>
    </x:row>
    <x:row r="27" ht="30" customHeight="1">
      <x:c r="B27" s="16" t="n">
        <x:f>IFERROR((InventoryList[[#This Row],[Quantity in stock]]&lt;=InventoryList[[#This Row],[Reorder level]])*(InventoryList[[#This Row],[Discontinued?]]="")*valHighlight,0)</x:f>
        <x:v>0</x:v>
      </x:c>
      <x:c r="C27" s="17" t="str">
        <x:v>IN0022</x:v>
      </x:c>
      <x:c r="D27" s="37" t="str">
        <x:v>Blue Pens - Box</x:v>
      </x:c>
      <x:c r="E27" s="37" t="str">
        <x:v>Ballpoint pens, 24 count</x:v>
      </x:c>
      <x:c r="F27" s="18" t="n">
        <x:v>12.2</x:v>
      </x:c>
      <x:c r="G27" s="19" t="n">
        <x:v>24</x:v>
      </x:c>
      <x:c r="H27" s="18" t="n">
        <x:f>InventoryList[[#This Row],[Unit price]]*InventoryList[[#This Row],[Quantity in stock]]</x:f>
        <x:v>292.79999999999995</x:v>
      </x:c>
      <x:c r="I27" s="19" t="n">
        <x:v>12</x:v>
      </x:c>
      <x:c r="J27" s="19" t="n">
        <x:v>2</x:v>
      </x:c>
      <x:c r="K27" s="19" t="n">
        <x:v>0</x:v>
      </x:c>
      <x:c r="L27" s="20" t="str"/>
    </x:row>
    <x:row r="28" ht="30" customHeight="1">
      <x:c r="B28" s="16" t="n">
        <x:f>IFERROR((InventoryList[[#This Row],[Quantity in stock]]&lt;=InventoryList[[#This Row],[Reorder level]])*(InventoryList[[#This Row],[Discontinued?]]="")*valHighlight,0)</x:f>
        <x:v>1</x:v>
      </x:c>
      <x:c r="C28" s="17" t="str">
        <x:v>IN0023</x:v>
      </x:c>
      <x:c r="D28" s="37" t="str">
        <x:v>Cable Organizer Kit</x:v>
      </x:c>
      <x:c r="E28" s="37" t="str">
        <x:v>Reusable cable ties and clips</x:v>
      </x:c>
      <x:c r="F28" s="18" t="n">
        <x:v>10.95</x:v>
      </x:c>
      <x:c r="G28" s="19" t="n">
        <x:v>5</x:v>
      </x:c>
      <x:c r="H28" s="18" t="n">
        <x:f>InventoryList[[#This Row],[Unit price]]*InventoryList[[#This Row],[Quantity in stock]]</x:f>
        <x:v>54.75</x:v>
      </x:c>
      <x:c r="I28" s="19" t="n">
        <x:v>8</x:v>
      </x:c>
      <x:c r="J28" s="19" t="n">
        <x:v>4</x:v>
      </x:c>
      <x:c r="K28" s="19" t="n">
        <x:v>10</x:v>
      </x:c>
      <x:c r="L28" s="20" t="str"/>
    </x:row>
    <x:row r="29" ht="30" customHeight="1">
      <x:c r="B29" s="16" t="n">
        <x:f>IFERROR((InventoryList[[#This Row],[Quantity in stock]]&lt;=InventoryList[[#This Row],[Reorder level]])*(InventoryList[[#This Row],[Discontinued?]]="")*valHighlight,0)</x:f>
        <x:v>0</x:v>
      </x:c>
      <x:c r="C29" s="17" t="str">
        <x:v>IN0024</x:v>
      </x:c>
      <x:c r="D29" s="37" t="str">
        <x:v>DisplayPort Cable</x:v>
      </x:c>
      <x:c r="E29" s="37" t="str">
        <x:v>6 ft DisplayPort cable</x:v>
      </x:c>
      <x:c r="F29" s="18" t="n">
        <x:v>12.75</x:v>
      </x:c>
      <x:c r="G29" s="19" t="n">
        <x:v>15</x:v>
      </x:c>
      <x:c r="H29" s="18" t="n">
        <x:f>InventoryList[[#This Row],[Unit price]]*InventoryList[[#This Row],[Quantity in stock]]</x:f>
        <x:v>191.25</x:v>
      </x:c>
      <x:c r="I29" s="19" t="n">
        <x:v>8</x:v>
      </x:c>
      <x:c r="J29" s="19" t="n">
        <x:v>3</x:v>
      </x:c>
      <x:c r="K29" s="19" t="n">
        <x:v>0</x:v>
      </x:c>
      <x:c r="L29" s="20" t="str"/>
    </x:row>
    <x:row r="30" ht="30" customHeight="1">
      <x:c r="B30" s="16" t="n">
        <x:f>IFERROR((InventoryList[[#This Row],[Quantity in stock]]&lt;=InventoryList[[#This Row],[Reorder level]])*(InventoryList[[#This Row],[Discontinued?]]="")*valHighlight,0)</x:f>
        <x:v>0</x:v>
      </x:c>
      <x:c r="C30" s="17" t="str">
        <x:v>IN0025</x:v>
      </x:c>
      <x:c r="D30" s="37" t="str">
        <x:v>Legacy VGA Adapter</x:v>
      </x:c>
      <x:c r="E30" s="37" t="str">
        <x:v>VGA display adapter</x:v>
      </x:c>
      <x:c r="F30" s="18" t="n">
        <x:v>15.5</x:v>
      </x:c>
      <x:c r="G30" s="19" t="n">
        <x:v>2</x:v>
      </x:c>
      <x:c r="H30" s="18" t="n">
        <x:f>InventoryList[[#This Row],[Unit price]]*InventoryList[[#This Row],[Quantity in stock]]</x:f>
        <x:v>31</x:v>
      </x:c>
      <x:c r="I30" s="19" t="n">
        <x:v>4</x:v>
      </x:c>
      <x:c r="J30" s="19" t="n">
        <x:v>7</x:v>
      </x:c>
      <x:c r="K30" s="19" t="n">
        <x:v>0</x:v>
      </x:c>
      <x:c r="L30" s="20" t="str">
        <x:v>Yes</x:v>
      </x:c>
    </x:row>
    <x:row r="31" ht="30" customHeight="1">
      <x:c r="C31" s="17"/>
      <x:c r="D31" s="17"/>
      <x:c r="E31" s="17"/>
      <x:c r="F31" s="18"/>
      <x:c r="G31" s="19"/>
      <x:c r="H31" s="18"/>
      <x:c r="I31" s="19"/>
      <x:c r="J31" s="19"/>
      <x:c r="K31" s="19"/>
      <x:c r="L31" s="20"/>
    </x:row>
  </x:sheetData>
  <x:conditionalFormatting sqref="C6:L30">
    <x:cfRule type="expression" dxfId="4" priority="21">
      <x:formula>$B6=1</x:formula>
    </x:cfRule>
    <x:cfRule type="expression" dxfId="3" priority="47">
      <x:formula>$L6="yes"</x:formula>
    </x:cfRule>
  </x:conditionalFormatting>
  <x:conditionalFormatting sqref="C31:L31">
    <x:cfRule type="expression" dxfId="2" priority="1">
      <x:formula>$B31=1</x:formula>
    </x:cfRule>
    <x:cfRule type="expression" dxfId="1" priority="2">
      <x:formula>$L31="yes"</x:formula>
    </x:cfRule>
  </x:conditionalFormatting>
  <x:dataValidations count="14">
    <x:dataValidation type="list" allowBlank="1" showInputMessage="1" showErrorMessage="1" error="Select an option from the dropdown list. Select RETRY to enter Yes or No or select CANCEL and press ALT+DOWN ARROW to navigate the list" prompt="To enable highlighting items to reorder, press ALT+DOWN ARROW and navigate to Yes and press ENTER. This will put a flag in column B and highlight the corresponding row in the Inventory List table.  Selecting No clears the flag and all highlights" sqref="E3">
      <x:formula1>"Yes, No"</x:formula1>
    </x:dataValidation>
    <x:dataValidation allowBlank="1" showInputMessage="1" showErrorMessage="1" prompt="A flag icon in this column indicates items in the inventory list that are ready to be reordered. Flag icons only appear when a Yes is selected in E3 and the item meets the reorder criteria" sqref="B5"/>
    <x:dataValidation allowBlank="1" showInputMessage="1" showErrorMessage="1" prompt="Enter the item inventory ID in this column" sqref="C5"/>
    <x:dataValidation allowBlank="1" showInputMessage="1" showErrorMessage="1" prompt="Enter the name of the item in this column" sqref="D5"/>
    <x:dataValidation allowBlank="1" showInputMessage="1" showErrorMessage="1" prompt="Enter a description of the item in this column" sqref="E5"/>
    <x:dataValidation allowBlank="1" showInputMessage="1" showErrorMessage="1" prompt="Enter the unit price of each item in this column" sqref="F5"/>
    <x:dataValidation allowBlank="1" showInputMessage="1" showErrorMessage="1" prompt="Enter the quantity in stock for each item in this column" sqref="G5"/>
    <x:dataValidation allowBlank="1" showInputMessage="1" showErrorMessage="1" prompt="The inventory value for each item is automatically calculated in this column" sqref="H5"/>
    <x:dataValidation allowBlank="1" showInputMessage="1" showErrorMessage="1" prompt="Enter the reorder level for each item in this column" sqref="I5"/>
    <x:dataValidation allowBlank="1" showInputMessage="1" showErrorMessage="1" prompt="Enter the number of days it takes to reorder each item in this column" sqref="J5"/>
    <x:dataValidation allowBlank="1" showInputMessage="1" showErrorMessage="1" prompt="Enter the quantity in reorder for each item in this column" sqref="K5"/>
    <x:dataValidation allowBlank="1" showInputMessage="1" showErrorMessage="1" prompt="Enter yes if the item has been discontinued. When a yes is entered, the corresponding row is highlighted a light grey and the font style changed to strikethrough" sqref="L5"/>
    <x:dataValidation allowBlank="1" showInputMessage="1" showErrorMessage="1" prompt="This worksheet tracks inventory for items listed in the inventory list table and contains the ability to highlight and flag those items that are ready to be reordered. Discontinued items have light brown fill and a Yes in the Discontinued column" sqref="A1"/>
    <x:dataValidation errorStyle="information" allowBlank="1" showInputMessage="1" error="Only an input of Yes will highlight items to reorder" prompt="Selecting Yes from the dropdown in cell E3 will highlight rows and place a flag icon in Column B of the inventory list table to indicate items that are ready to be reordered" sqref="C3"/>
  </x:dataValidations>
  <x:pageMargins left="0.7" right="0.7" top="0.75" bottom="0.75" header="0.3" footer="0.3"/>
  <x:tableParts count="1">
    <x:tablePart xmlns:r="http://schemas.openxmlformats.org/officeDocument/2006/relationships" r:id="Rc3de08c2b3e640c9"/>
  </x:tableParts>
</x:worksheet>
</file>